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dashboard-nadun\dashboard\.github\scripts\template\"/>
    </mc:Choice>
  </mc:AlternateContent>
  <xr:revisionPtr revIDLastSave="0" documentId="13_ncr:1_{B46097D7-E0C9-4156-B216-101439358643}" xr6:coauthVersionLast="47" xr6:coauthVersionMax="47" xr10:uidLastSave="{00000000-0000-0000-0000-000000000000}"/>
  <bookViews>
    <workbookView xWindow="-110" yWindow="-110" windowWidth="19420" windowHeight="11500" xr2:uid="{63695993-6E6D-4D1C-B5DE-B797D3C91104}"/>
  </bookViews>
  <sheets>
    <sheet name="Test_Execution_Summary" sheetId="1" r:id="rId1"/>
    <sheet name="Configurations" sheetId="13" r:id="rId2"/>
    <sheet name="Test Coverage" sheetId="3" state="hidden" r:id="rId3"/>
  </sheets>
  <functionGroups builtInGroupCount="19"/>
  <definedNames>
    <definedName name="_xleta.SUM" hidden="1" xlm="1">#NAME?</definedName>
  </definedNames>
  <calcPr calcId="191029"/>
  <pivotCaches>
    <pivotCache cacheId="3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8" i="3"/>
  <c r="C6" i="1"/>
  <c r="D6" i="1"/>
  <c r="E6" i="1"/>
  <c r="E8" i="1" l="1"/>
  <c r="E10" i="1" s="1"/>
  <c r="C8" i="1"/>
  <c r="D8" i="1"/>
  <c r="D10" i="1" s="1"/>
  <c r="C7" i="3"/>
  <c r="B6" i="3"/>
  <c r="B5" i="3"/>
  <c r="B4" i="3"/>
  <c r="B3" i="3"/>
  <c r="C3" i="3" l="1"/>
  <c r="C8" i="3"/>
  <c r="C6" i="3"/>
  <c r="C5" i="3"/>
  <c r="C10" i="1" l="1"/>
  <c r="C4" i="3" l="1"/>
</calcChain>
</file>

<file path=xl/sharedStrings.xml><?xml version="1.0" encoding="utf-8"?>
<sst xmlns="http://schemas.openxmlformats.org/spreadsheetml/2006/main" count="39" uniqueCount="22">
  <si>
    <t>Module</t>
  </si>
  <si>
    <t>Pass</t>
  </si>
  <si>
    <t>Fail</t>
  </si>
  <si>
    <t>Total</t>
  </si>
  <si>
    <t>Test Results Summery</t>
  </si>
  <si>
    <t>Not Executed</t>
  </si>
  <si>
    <t>Release</t>
  </si>
  <si>
    <t>TC#</t>
  </si>
  <si>
    <t>UI - Functional Test Results Details</t>
  </si>
  <si>
    <t>Overall Results</t>
  </si>
  <si>
    <t>Release Date</t>
  </si>
  <si>
    <t>Tests</t>
  </si>
  <si>
    <t>passed</t>
  </si>
  <si>
    <t>not-executed</t>
  </si>
  <si>
    <t>UI - MAP</t>
  </si>
  <si>
    <t>Suite</t>
  </si>
  <si>
    <t xml:space="preserve">failed </t>
  </si>
  <si>
    <t>UI Test Results Details</t>
  </si>
  <si>
    <t>Dashboard Line Chart Verification</t>
  </si>
  <si>
    <t>Dashboard Bar Chart Verification</t>
  </si>
  <si>
    <t>Dashboard Pie Chart Verification</t>
  </si>
  <si>
    <t>Dashboard Doughnut Chart Verification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</si>
</sst>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charset val="1"/>
    </font>
    <font>
      <u/>
      <sz val="11"/>
      <color rgb="FF0563C1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8" fillId="0" borderId="0" applyBorder="0" applyProtection="0"/>
  </cellStyleXfs>
  <cellXfs count="25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/>
    <xf numFmtId="0" fontId="0" fillId="3" borderId="0" xfId="0" applyFill="1" applyAlignment="1">
      <alignment horizontal="center"/>
    </xf>
    <xf numFmtId="0" fontId="6" fillId="5" borderId="1" xfId="0" applyFont="1" applyFill="1" applyBorder="1"/>
    <xf numFmtId="0" fontId="5" fillId="6" borderId="1" xfId="0" applyFont="1" applyFill="1" applyBorder="1"/>
    <xf numFmtId="0" fontId="2" fillId="3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14" fontId="6" fillId="3" borderId="1" xfId="0" applyNumberFormat="1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" fillId="7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2" fillId="0" borderId="1" xfId="0" applyFont="1" applyBorder="1" applyAlignment="1"/>
    <xf numFmtId="0" fontId="0" fillId="0" borderId="1" xfId="0" applyNumberFormat="1" applyBorder="1" applyAlignment="1">
      <alignment horizontal="center"/>
    </xf>
    <xf numFmtId="0" fontId="2" fillId="0" borderId="1" xfId="0" applyNumberFormat="1" applyFont="1" applyBorder="1" applyAlignment="1">
      <alignment horizontal="center"/>
    </xf>
  </cellXfs>
  <cellStyles count="3">
    <cellStyle name="Hyperlink 2" xfId="2" xr:uid="{5EBFEC79-9BD3-4FD5-A031-D00A13F25A33}"/>
    <cellStyle name="Normal" xfId="0" builtinId="0"/>
    <cellStyle name="Normal 2" xfId="1" xr:uid="{B71B50A8-0603-451C-B7F6-2FD3519E8544}"/>
  </cellStyles>
  <dxfs count="37"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2" tint="-0.499984740745262"/>
        </patternFill>
      </fill>
    </dxf>
    <dxf>
      <font>
        <color theme="0"/>
      </font>
    </dxf>
    <dxf>
      <font>
        <b val="0"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1" defaultTableStyle="TableStyleMedium2" defaultPivotStyle="PivotStyleLight16">
    <tableStyle name="PivotTable Style 1" table="0" count="0" xr9:uid="{9717001A-26F3-47E2-8DC9-C1D71BCDD46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UI - Functional Test Results Summary</a:t>
            </a:r>
          </a:p>
        </c:rich>
      </c:tx>
      <c:layout>
        <c:manualLayout>
          <c:xMode val="edge"/>
          <c:yMode val="edge"/>
          <c:x val="0.21596061960962099"/>
          <c:y val="3.3240098103996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Test_Execution_Summary!$C$5</c:f>
              <c:strCache>
                <c:ptCount val="1"/>
                <c:pt idx="0">
                  <c:v>Pass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Test_Execution_Summary!$B$6</c:f>
              <c:strCache>
                <c:ptCount val="1"/>
                <c:pt idx="0">
                  <c:v>UI - Functional Test Results Details</c:v>
                </c:pt>
              </c:strCache>
            </c:strRef>
          </c:cat>
          <c:val>
            <c:numRef>
              <c:f>Test_Execution_Summary!$C$6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F4-4CB0-89F4-EC880D541F18}"/>
            </c:ext>
          </c:extLst>
        </c:ser>
        <c:ser>
          <c:idx val="1"/>
          <c:order val="1"/>
          <c:tx>
            <c:strRef>
              <c:f>Test_Execution_Summary!$D$5</c:f>
              <c:strCache>
                <c:ptCount val="1"/>
                <c:pt idx="0">
                  <c:v>Fail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Test_Execution_Summary!$B$6</c:f>
              <c:strCache>
                <c:ptCount val="1"/>
                <c:pt idx="0">
                  <c:v>UI - Functional Test Results Details</c:v>
                </c:pt>
              </c:strCache>
            </c:strRef>
          </c:cat>
          <c:val>
            <c:numRef>
              <c:f>Test_Execution_Summary!$D$6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F4-4CB0-89F4-EC880D541F18}"/>
            </c:ext>
          </c:extLst>
        </c:ser>
        <c:ser>
          <c:idx val="2"/>
          <c:order val="2"/>
          <c:tx>
            <c:strRef>
              <c:f>Test_Execution_Summary!$E$5</c:f>
              <c:strCache>
                <c:ptCount val="1"/>
                <c:pt idx="0">
                  <c:v>Not Executed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Test_Execution_Summary!$B$6</c:f>
              <c:strCache>
                <c:ptCount val="1"/>
                <c:pt idx="0">
                  <c:v>UI - Functional Test Results Details</c:v>
                </c:pt>
              </c:strCache>
            </c:strRef>
          </c:cat>
          <c:val>
            <c:numRef>
              <c:f>Test_Execution_Summary!$E$6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F4-4CB0-89F4-EC880D541F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7055663"/>
        <c:axId val="350533311"/>
      </c:barChart>
      <c:catAx>
        <c:axId val="7705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533311"/>
        <c:crosses val="autoZero"/>
        <c:auto val="1"/>
        <c:lblAlgn val="ctr"/>
        <c:lblOffset val="100"/>
        <c:noMultiLvlLbl val="0"/>
      </c:catAx>
      <c:valAx>
        <c:axId val="35053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5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UI Test Suite Pass Rate</a:t>
            </a:r>
          </a:p>
        </c:rich>
      </c:tx>
      <c:layout>
        <c:manualLayout>
          <c:xMode val="edge"/>
          <c:yMode val="edge"/>
          <c:x val="0.29730489978467356"/>
          <c:y val="6.140466310028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66937429553521"/>
          <c:y val="0.22468073793926746"/>
          <c:w val="0.50411416754385141"/>
          <c:h val="0.6786157118064262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4F-453A-9058-F4AF92C77C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4F-453A-9058-F4AF92C77C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Test_Execution_Summary!$C$5:$E$5</c15:sqref>
                  </c15:fullRef>
                </c:ext>
              </c:extLst>
              <c:f>Test_Execution_Summary!$C$5:$D$5</c:f>
              <c:strCache>
                <c:ptCount val="2"/>
                <c:pt idx="0">
                  <c:v>Pass</c:v>
                </c:pt>
                <c:pt idx="1">
                  <c:v>Fail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Test_Execution_Summary!$C$8:$E$8</c15:sqref>
                  </c15:fullRef>
                </c:ext>
              </c:extLst>
              <c:f>Test_Execution_Summary!$C$8:$D$8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4-074F-453A-9058-F4AF92C77C4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1573650578993"/>
          <c:y val="0.74155672201439571"/>
          <c:w val="0.19423772093413369"/>
          <c:h val="0.151400280373934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5875</xdr:colOff>
      <xdr:row>25</xdr:row>
      <xdr:rowOff>166439</xdr:rowOff>
    </xdr:from>
    <xdr:to>
      <xdr:col>9</xdr:col>
      <xdr:colOff>689814</xdr:colOff>
      <xdr:row>51</xdr:row>
      <xdr:rowOff>9072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A795603-E242-40FA-8540-9B68F23CC1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242888</xdr:colOff>
      <xdr:row>17</xdr:row>
      <xdr:rowOff>86504</xdr:rowOff>
    </xdr:from>
    <xdr:to>
      <xdr:col>3</xdr:col>
      <xdr:colOff>552451</xdr:colOff>
      <xdr:row>35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6851FD3-B833-4736-BFCE-490D3F6D8E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190.646687615743" createdVersion="8" refreshedVersion="8" minRefreshableVersion="3" recordCount="4" xr:uid="{26C68D47-31F2-45A8-A7F1-F50535BA2A14}">
  <cacheSource type="worksheet">
    <worksheetSource name="ui_map"/>
  </cacheSource>
  <cacheFields count="5">
    <cacheField name="Module" numFmtId="0">
      <sharedItems containsBlank="1" count="26">
        <s v="Dashboard Line Chart Verification"/>
        <s v="Dashboard Bar Chart Verification"/>
        <s v="Dashboard Pie Chart Verification"/>
        <s v="Dashboard Doughnut Chart Verification"/>
        <m u="1"/>
        <s v="User Authentication" u="1"/>
        <s v="Warehouse View" u="1"/>
        <s v="Warehouse View Inside Gantry" u="1"/>
        <s v="Json Genration" u="1"/>
        <s v="Manual Correct Warehouse View" u="1"/>
        <s v="SKU Config" u="1"/>
        <s v="SKU and Cradle Upload" u="1"/>
        <s v="Max Orders" u="1"/>
        <s v="Robot Timing" u="1"/>
        <s v="Saw Processing Time verification" u="1"/>
        <s v="Template" u="1"/>
        <s v="Two Exit position Configuration" u="1"/>
        <s v="Robot Configuration" u="1"/>
        <s v="Generic Image Upload" u="1"/>
        <s v="Tugger time verification" u="1"/>
        <s v="Perimeter cradle Verification" u="1"/>
        <s v="Max Main Page" u="1"/>
        <s v="Max Configurations" u="1"/>
        <s v="he" u="1"/>
        <s v="huu" u="1"/>
        <s v="sfa" u="1"/>
      </sharedItems>
    </cacheField>
    <cacheField name="Suite" numFmtId="0">
      <sharedItems/>
    </cacheField>
    <cacheField name="passed" numFmtId="0">
      <sharedItems containsNonDate="0" containsString="0" containsBlank="1"/>
    </cacheField>
    <cacheField name="failed " numFmtId="0">
      <sharedItems containsNonDate="0" containsString="0" containsBlank="1"/>
    </cacheField>
    <cacheField name="not-execute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s v="Dashboard Line Chart Verification"/>
    <m/>
    <m/>
    <m/>
  </r>
  <r>
    <x v="1"/>
    <s v="Dashboard Bar Chart Verification"/>
    <m/>
    <m/>
    <m/>
  </r>
  <r>
    <x v="2"/>
    <s v="Dashboard Pie Chart Verification"/>
    <m/>
    <m/>
    <m/>
  </r>
  <r>
    <x v="3"/>
    <s v="Dashboard Doughnut Chart Verification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01FD6B-4AC6-4E6D-B5D8-698408600300}" name="PivotTable14" cacheId="32" applyNumberFormats="0" applyBorderFormats="0" applyFontFormats="0" applyPatternFormats="0" applyAlignmentFormats="0" applyWidthHeightFormats="1" dataCaption="Values" grandTotalCaption="Total" updatedVersion="8" minRefreshableVersion="3" itemPrintTitles="1" createdVersion="8" indent="0" outline="1" outlineData="1" multipleFieldFilters="0" rowHeaderCaption="Module">
  <location ref="G5:J10" firstHeaderRow="0" firstDataRow="1" firstDataCol="1"/>
  <pivotFields count="5">
    <pivotField axis="axisRow" showAll="0">
      <items count="27">
        <item m="1" x="18"/>
        <item m="1" x="8"/>
        <item m="1" x="9"/>
        <item m="1" x="22"/>
        <item m="1" x="21"/>
        <item m="1" x="12"/>
        <item m="1" x="20"/>
        <item m="1" x="17"/>
        <item m="1" x="13"/>
        <item m="1" x="14"/>
        <item m="1" x="11"/>
        <item m="1" x="10"/>
        <item m="1" x="15"/>
        <item m="1" x="19"/>
        <item m="1" x="16"/>
        <item m="1" x="5"/>
        <item m="1" x="6"/>
        <item m="1" x="7"/>
        <item m="1" x="25"/>
        <item m="1" x="23"/>
        <item m="1" x="24"/>
        <item x="0"/>
        <item x="1"/>
        <item x="2"/>
        <item x="3"/>
        <item m="1" x="4"/>
        <item t="default"/>
      </items>
    </pivotField>
    <pivotField showAll="0"/>
    <pivotField dataField="1" showAll="0"/>
    <pivotField dataField="1" showAll="0"/>
    <pivotField dataField="1" showAll="0"/>
  </pivotFields>
  <rowFields count="1">
    <field x="0"/>
  </rowFields>
  <rowItems count="5">
    <i>
      <x v="21"/>
    </i>
    <i>
      <x v="22"/>
    </i>
    <i>
      <x v="23"/>
    </i>
    <i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ass" fld="2" baseField="0" baseItem="0"/>
    <dataField name="Fail" fld="3" baseField="0" baseItem="0"/>
    <dataField name="Not Executed" fld="4" baseField="0" baseItem="0"/>
  </dataFields>
  <formats count="37">
    <format dxfId="36">
      <pivotArea type="all" dataOnly="0" outline="0" fieldPosition="0"/>
    </format>
    <format dxfId="35">
      <pivotArea outline="0" collapsedLevelsAreSubtotals="1" fieldPosition="0"/>
    </format>
    <format dxfId="34">
      <pivotArea dataOnly="0" labelOnly="1" fieldPosition="0">
        <references count="1">
          <reference field="0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type="all" dataOnly="0" outline="0" fieldPosition="0"/>
    </format>
    <format dxfId="30">
      <pivotArea dataOnly="0" labelOnly="1" fieldPosition="0">
        <references count="1">
          <reference field="0" count="0"/>
        </references>
      </pivotArea>
    </format>
    <format dxfId="29">
      <pivotArea dataOnly="0" labelOnly="1" grandRow="1" outline="0" fieldPosition="0"/>
    </format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field="0" type="button" dataOnly="0" labelOnly="1" outline="0" axis="axisRow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dataOnly="0" labelOnly="1" fieldPosition="0">
        <references count="1">
          <reference field="0" count="0"/>
        </references>
      </pivotArea>
    </format>
    <format dxfId="16">
      <pivotArea field="0" type="button" dataOnly="0" labelOnly="1" outline="0" axis="axisRow" fieldPosition="0"/>
    </format>
    <format dxfId="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">
      <pivotArea field="0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0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field="0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">
      <pivotArea dataOnly="0" grandRow="1" axis="axisRow" fieldPosition="0"/>
    </format>
    <format dxfId="6">
      <pivotArea dataOnly="0" labelOnly="1" grandRow="1" outline="0" fieldPosition="0"/>
    </format>
    <format dxfId="5">
      <pivotArea dataOnly="0" labelOnly="1" grandRow="1" outline="0" fieldPosition="0"/>
    </format>
    <format dxfId="4">
      <pivotArea dataOnly="0" labelOnly="1" grandRow="1" outline="0" fieldPosition="0"/>
    </format>
    <format dxfId="3">
      <pivotArea dataOnly="0" labelOnly="1" grandRow="1" outline="0" fieldPosition="0"/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7" showRowHeaders="0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2EF41F-CDDD-4D1F-9CC5-0436A7EBB425}" name="ui_map" displayName="ui_map" ref="B4:F8" totalsRowShown="0">
  <autoFilter ref="B4:F8" xr:uid="{EC2EF41F-CDDD-4D1F-9CC5-0436A7EBB425}"/>
  <tableColumns count="5">
    <tableColumn id="1" xr3:uid="{05C510DF-25AA-4681-AA1A-49AFE020E94F}" name="Module"/>
    <tableColumn id="2" xr3:uid="{E28B9D9B-A966-40DF-B4E3-5D22667A8FFB}" name="Suite"/>
    <tableColumn id="3" xr3:uid="{D4E5720C-518E-42D5-9414-3D74B4F9BF5E}" name="passed"/>
    <tableColumn id="4" xr3:uid="{AC9BFE38-BC0F-46C8-BBC5-1E4787800CD4}" name="failed "/>
    <tableColumn id="5" xr3:uid="{F21EC98E-6A11-4B3C-9715-AAF63A329F14}" name="not-executed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7C74F-D2AC-4C1C-9E5E-B52E5BE67FB3}">
  <sheetPr codeName="Sheet1"/>
  <dimension ref="B2:J26"/>
  <sheetViews>
    <sheetView tabSelected="1" zoomScale="55" zoomScaleNormal="55" workbookViewId="0">
      <selection activeCell="M14" sqref="M14"/>
    </sheetView>
  </sheetViews>
  <sheetFormatPr defaultColWidth="9.26953125" defaultRowHeight="14.5" x14ac:dyDescent="0.35"/>
  <cols>
    <col min="1" max="1" width="3.26953125" style="1" customWidth="1"/>
    <col min="2" max="2" width="42" style="1" customWidth="1"/>
    <col min="3" max="3" width="17.54296875" style="1" customWidth="1"/>
    <col min="4" max="4" width="14.54296875" style="1" customWidth="1"/>
    <col min="5" max="5" width="17.54296875" style="1" customWidth="1"/>
    <col min="6" max="6" width="5.81640625" style="1" customWidth="1"/>
    <col min="7" max="7" width="32.26953125" style="1" customWidth="1"/>
    <col min="8" max="8" width="19.6328125" style="1" customWidth="1"/>
    <col min="9" max="9" width="12.81640625" style="1" customWidth="1"/>
    <col min="10" max="10" width="12" style="1" bestFit="1" customWidth="1"/>
    <col min="11" max="11" width="15" style="1" customWidth="1"/>
    <col min="12" max="12" width="14.81640625" style="1" bestFit="1" customWidth="1"/>
    <col min="13" max="16384" width="9.26953125" style="1"/>
  </cols>
  <sheetData>
    <row r="2" spans="2:10" ht="18" customHeight="1" x14ac:dyDescent="0.35">
      <c r="B2" s="18" t="s">
        <v>4</v>
      </c>
      <c r="C2" s="18"/>
      <c r="D2" s="18"/>
      <c r="E2" s="18"/>
      <c r="G2" s="19" t="s">
        <v>17</v>
      </c>
      <c r="H2" s="19"/>
      <c r="I2" s="19"/>
      <c r="J2" s="19"/>
    </row>
    <row r="3" spans="2:10" ht="16.5" customHeight="1" x14ac:dyDescent="0.35"/>
    <row r="5" spans="2:10" x14ac:dyDescent="0.35">
      <c r="B5" s="10" t="s">
        <v>11</v>
      </c>
      <c r="C5" s="10" t="s">
        <v>1</v>
      </c>
      <c r="D5" s="10" t="s">
        <v>2</v>
      </c>
      <c r="E5" s="10" t="s">
        <v>5</v>
      </c>
      <c r="G5" s="14" t="s">
        <v>0</v>
      </c>
      <c r="H5" s="14" t="s">
        <v>1</v>
      </c>
      <c r="I5" s="14" t="s">
        <v>2</v>
      </c>
      <c r="J5" s="14" t="s">
        <v>5</v>
      </c>
    </row>
    <row r="6" spans="2:10" x14ac:dyDescent="0.35">
      <c r="B6" s="7" t="s">
        <v>8</v>
      </c>
      <c r="C6" s="3">
        <f>GETPIVOTDATA("Pass",G5)</f>
        <v>0</v>
      </c>
      <c r="D6" s="3">
        <f>GETPIVOTDATA("Fail",G5)</f>
        <v>0</v>
      </c>
      <c r="E6" s="3">
        <f>GETPIVOTDATA("Not Executed",G5)</f>
        <v>0</v>
      </c>
      <c r="G6" s="22" t="s">
        <v>18</v>
      </c>
      <c r="H6" s="23"/>
      <c r="I6" s="23"/>
      <c r="J6" s="23"/>
    </row>
    <row r="7" spans="2:10" x14ac:dyDescent="0.35">
      <c r="B7" s="7"/>
      <c r="C7" s="3"/>
      <c r="D7" s="3"/>
      <c r="E7" s="3"/>
      <c r="G7" s="22" t="s">
        <v>19</v>
      </c>
      <c r="H7" s="23"/>
      <c r="I7" s="23"/>
      <c r="J7" s="23"/>
    </row>
    <row r="8" spans="2:10" x14ac:dyDescent="0.35">
      <c r="B8" s="5" t="s">
        <v>3</v>
      </c>
      <c r="C8" s="4">
        <f>SUM(C6:C7)</f>
        <v>0</v>
      </c>
      <c r="D8" s="4">
        <f>SUM(D6:D7)</f>
        <v>0</v>
      </c>
      <c r="E8" s="4">
        <f t="shared" ref="E8" si="0">SUM(E6:E7)</f>
        <v>0</v>
      </c>
      <c r="G8" s="22" t="s">
        <v>20</v>
      </c>
      <c r="H8" s="23"/>
      <c r="I8" s="23"/>
      <c r="J8" s="23"/>
    </row>
    <row r="9" spans="2:10" x14ac:dyDescent="0.35">
      <c r="B9" s="20" t="s">
        <v>9</v>
      </c>
      <c r="C9" s="10" t="s">
        <v>1</v>
      </c>
      <c r="D9" s="10" t="s">
        <v>2</v>
      </c>
      <c r="E9" s="10" t="s">
        <v>5</v>
      </c>
      <c r="G9" s="22" t="s">
        <v>21</v>
      </c>
      <c r="H9" s="23"/>
      <c r="I9" s="23"/>
      <c r="J9" s="23"/>
    </row>
    <row r="10" spans="2:10" x14ac:dyDescent="0.35">
      <c r="B10" s="21"/>
      <c r="C10" s="3">
        <f>C8</f>
        <v>0</v>
      </c>
      <c r="D10" s="3">
        <f>D8</f>
        <v>0</v>
      </c>
      <c r="E10" s="3">
        <f>E8</f>
        <v>0</v>
      </c>
      <c r="G10" s="15" t="s">
        <v>3</v>
      </c>
      <c r="H10" s="24"/>
      <c r="I10" s="24"/>
      <c r="J10" s="24"/>
    </row>
    <row r="11" spans="2:10" x14ac:dyDescent="0.35">
      <c r="G11"/>
      <c r="H11"/>
      <c r="I11"/>
      <c r="J11"/>
    </row>
    <row r="12" spans="2:10" x14ac:dyDescent="0.35">
      <c r="B12" s="8" t="s">
        <v>6</v>
      </c>
      <c r="C12" s="12"/>
      <c r="G12"/>
      <c r="H12"/>
      <c r="I12"/>
      <c r="J12"/>
    </row>
    <row r="13" spans="2:10" x14ac:dyDescent="0.35">
      <c r="B13" s="8" t="s">
        <v>10</v>
      </c>
      <c r="C13" s="11"/>
      <c r="G13"/>
      <c r="H13"/>
      <c r="I13"/>
      <c r="J13"/>
    </row>
    <row r="14" spans="2:10" x14ac:dyDescent="0.35">
      <c r="G14"/>
      <c r="H14"/>
      <c r="I14"/>
      <c r="J14"/>
    </row>
    <row r="15" spans="2:10" x14ac:dyDescent="0.35">
      <c r="G15"/>
      <c r="H15"/>
      <c r="I15"/>
      <c r="J15"/>
    </row>
    <row r="16" spans="2:10" x14ac:dyDescent="0.35">
      <c r="G16"/>
      <c r="H16"/>
      <c r="I16"/>
      <c r="J16"/>
    </row>
    <row r="17" spans="7:10" x14ac:dyDescent="0.35">
      <c r="G17"/>
      <c r="H17"/>
      <c r="I17"/>
      <c r="J17"/>
    </row>
    <row r="18" spans="7:10" x14ac:dyDescent="0.35">
      <c r="G18"/>
      <c r="H18"/>
      <c r="I18"/>
      <c r="J18"/>
    </row>
    <row r="19" spans="7:10" x14ac:dyDescent="0.35">
      <c r="G19"/>
      <c r="H19"/>
      <c r="I19"/>
      <c r="J19"/>
    </row>
    <row r="20" spans="7:10" x14ac:dyDescent="0.35">
      <c r="G20"/>
      <c r="H20"/>
      <c r="I20"/>
      <c r="J20"/>
    </row>
    <row r="21" spans="7:10" x14ac:dyDescent="0.35">
      <c r="G21"/>
      <c r="H21"/>
      <c r="I21"/>
      <c r="J21"/>
    </row>
    <row r="22" spans="7:10" x14ac:dyDescent="0.35">
      <c r="G22"/>
      <c r="H22"/>
      <c r="I22"/>
      <c r="J22"/>
    </row>
    <row r="23" spans="7:10" x14ac:dyDescent="0.35">
      <c r="G23"/>
      <c r="H23"/>
      <c r="I23"/>
      <c r="J23"/>
    </row>
    <row r="24" spans="7:10" x14ac:dyDescent="0.35">
      <c r="G24"/>
      <c r="H24"/>
      <c r="I24"/>
      <c r="J24"/>
    </row>
    <row r="25" spans="7:10" x14ac:dyDescent="0.35">
      <c r="G25"/>
      <c r="H25"/>
      <c r="I25"/>
      <c r="J25"/>
    </row>
    <row r="26" spans="7:10" x14ac:dyDescent="0.35">
      <c r="G26"/>
      <c r="H26"/>
      <c r="I26"/>
      <c r="J26"/>
    </row>
  </sheetData>
  <mergeCells count="3">
    <mergeCell ref="B2:E2"/>
    <mergeCell ref="G2:J2"/>
    <mergeCell ref="B9:B10"/>
  </mergeCells>
  <phoneticPr fontId="3" type="noConversion"/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1988A-529A-4FB7-9C8C-F8C5D08A7D8C}">
  <sheetPr codeName="Sheet12"/>
  <dimension ref="B2:F8"/>
  <sheetViews>
    <sheetView zoomScale="70" zoomScaleNormal="70" workbookViewId="0">
      <selection activeCell="J16" sqref="J16"/>
    </sheetView>
  </sheetViews>
  <sheetFormatPr defaultRowHeight="14.5" x14ac:dyDescent="0.35"/>
  <cols>
    <col min="2" max="2" width="29.26953125" bestFit="1" customWidth="1"/>
    <col min="3" max="3" width="43.81640625" bestFit="1" customWidth="1"/>
    <col min="6" max="6" width="14.36328125" customWidth="1"/>
  </cols>
  <sheetData>
    <row r="2" spans="2:6" x14ac:dyDescent="0.35">
      <c r="B2" s="16" t="s">
        <v>14</v>
      </c>
      <c r="C2" s="17"/>
      <c r="D2" s="17"/>
      <c r="E2" s="17"/>
      <c r="F2" s="17"/>
    </row>
    <row r="3" spans="2:6" x14ac:dyDescent="0.35">
      <c r="B3" s="13"/>
      <c r="C3" s="13"/>
      <c r="D3" s="13"/>
      <c r="E3" s="13"/>
      <c r="F3" s="13"/>
    </row>
    <row r="4" spans="2:6" x14ac:dyDescent="0.35">
      <c r="B4" t="s">
        <v>0</v>
      </c>
      <c r="C4" t="s">
        <v>15</v>
      </c>
      <c r="D4" t="s">
        <v>12</v>
      </c>
      <c r="E4" t="s">
        <v>16</v>
      </c>
      <c r="F4" t="s">
        <v>13</v>
      </c>
    </row>
    <row r="5" spans="2:6" x14ac:dyDescent="0.35">
      <c r="B5" t="s">
        <v>18</v>
      </c>
      <c r="C5" t="s">
        <v>18</v>
      </c>
    </row>
    <row r="6" spans="2:6" x14ac:dyDescent="0.35">
      <c r="B6" t="s">
        <v>19</v>
      </c>
      <c r="C6" t="s">
        <v>19</v>
      </c>
    </row>
    <row r="7" spans="2:6" x14ac:dyDescent="0.35">
      <c r="B7" t="s">
        <v>20</v>
      </c>
      <c r="C7" t="s">
        <v>20</v>
      </c>
    </row>
    <row r="8" spans="2:6" x14ac:dyDescent="0.35">
      <c r="B8" t="s">
        <v>21</v>
      </c>
      <c r="C8" t="s">
        <v>21</v>
      </c>
    </row>
  </sheetData>
  <mergeCells count="1">
    <mergeCell ref="B2:F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D1A80-361B-454B-8AC1-48E2550145AB}">
  <sheetPr codeName="Sheet4"/>
  <dimension ref="B2:C12"/>
  <sheetViews>
    <sheetView workbookViewId="0">
      <selection activeCell="D18" sqref="D18"/>
    </sheetView>
  </sheetViews>
  <sheetFormatPr defaultColWidth="9.26953125" defaultRowHeight="14.5" x14ac:dyDescent="0.35"/>
  <cols>
    <col min="1" max="1" width="9.26953125" style="1"/>
    <col min="2" max="2" width="22.7265625" style="1" customWidth="1"/>
    <col min="3" max="3" width="9.26953125" style="6"/>
    <col min="4" max="16384" width="9.26953125" style="1"/>
  </cols>
  <sheetData>
    <row r="2" spans="2:3" x14ac:dyDescent="0.35">
      <c r="B2" s="9" t="s">
        <v>0</v>
      </c>
      <c r="C2" s="9" t="s">
        <v>7</v>
      </c>
    </row>
    <row r="3" spans="2:3" x14ac:dyDescent="0.35">
      <c r="B3" s="2" t="e">
        <f>#REF!</f>
        <v>#REF!</v>
      </c>
      <c r="C3" s="3" t="e">
        <f>SUM(#REF!)</f>
        <v>#REF!</v>
      </c>
    </row>
    <row r="4" spans="2:3" x14ac:dyDescent="0.35">
      <c r="B4" s="2" t="e">
        <f>#REF!</f>
        <v>#REF!</v>
      </c>
      <c r="C4" s="3" t="e">
        <f>SUM(#REF!)</f>
        <v>#REF!</v>
      </c>
    </row>
    <row r="5" spans="2:3" x14ac:dyDescent="0.35">
      <c r="B5" s="2" t="e">
        <f>#REF!</f>
        <v>#REF!</v>
      </c>
      <c r="C5" s="3" t="e">
        <f>SUM(#REF!)</f>
        <v>#REF!</v>
      </c>
    </row>
    <row r="6" spans="2:3" x14ac:dyDescent="0.35">
      <c r="B6" s="2" t="e">
        <f>#REF!</f>
        <v>#REF!</v>
      </c>
      <c r="C6" s="3" t="e">
        <f>SUM(#REF!)</f>
        <v>#REF!</v>
      </c>
    </row>
    <row r="7" spans="2:3" x14ac:dyDescent="0.35">
      <c r="B7" s="2" t="e">
        <f>#REF!</f>
        <v>#REF!</v>
      </c>
      <c r="C7" s="3" t="e">
        <f>SUM(#REF!)</f>
        <v>#REF!</v>
      </c>
    </row>
    <row r="8" spans="2:3" x14ac:dyDescent="0.35">
      <c r="B8" s="2" t="e">
        <f>#REF!</f>
        <v>#REF!</v>
      </c>
      <c r="C8" s="3" t="e">
        <f>SUM(#REF!)</f>
        <v>#REF!</v>
      </c>
    </row>
    <row r="9" spans="2:3" x14ac:dyDescent="0.35">
      <c r="B9" s="2"/>
      <c r="C9" s="3"/>
    </row>
    <row r="10" spans="2:3" x14ac:dyDescent="0.35">
      <c r="B10" s="2"/>
      <c r="C10" s="3"/>
    </row>
    <row r="11" spans="2:3" x14ac:dyDescent="0.35">
      <c r="B11" s="2"/>
      <c r="C11" s="3"/>
    </row>
    <row r="12" spans="2:3" x14ac:dyDescent="0.35">
      <c r="B12" s="2"/>
      <c r="C12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siakirja" ma:contentTypeID="0x01010065A156280117E84F85D95EB3566230A4" ma:contentTypeVersion="13" ma:contentTypeDescription="Luo uusi asiakirja." ma:contentTypeScope="" ma:versionID="e15a268baf6cea11402c5446c2db5b75">
  <xsd:schema xmlns:xsd="http://www.w3.org/2001/XMLSchema" xmlns:xs="http://www.w3.org/2001/XMLSchema" xmlns:p="http://schemas.microsoft.com/office/2006/metadata/properties" xmlns:ns3="52345ac7-77b7-41ea-a349-22536bae1db1" xmlns:ns4="4c1d7af6-fd99-46aa-bf57-6d3d790ee3ad" targetNamespace="http://schemas.microsoft.com/office/2006/metadata/properties" ma:root="true" ma:fieldsID="2f9717fe020b143bf5efafa4d5b506fb" ns3:_="" ns4:_="">
    <xsd:import namespace="52345ac7-77b7-41ea-a349-22536bae1db1"/>
    <xsd:import namespace="4c1d7af6-fd99-46aa-bf57-6d3d790ee3a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LengthInSecond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345ac7-77b7-41ea-a349-22536bae1db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Jaettu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Jakamisen tiedot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Jakamisvihjeen hajautus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1d7af6-fd99-46aa-bf57-6d3d790ee3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Sisältölaji"/>
        <xsd:element ref="dc:title" minOccurs="0" maxOccurs="1" ma:index="4" ma:displayName="Otsikk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c1d7af6-fd99-46aa-bf57-6d3d790ee3ad" xsi:nil="true"/>
  </documentManagement>
</p:properties>
</file>

<file path=customXml/itemProps1.xml><?xml version="1.0" encoding="utf-8"?>
<ds:datastoreItem xmlns:ds="http://schemas.openxmlformats.org/officeDocument/2006/customXml" ds:itemID="{206B97F5-5D59-4B10-B0B3-20435E35BF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54D05C3-A2CD-4943-9CD7-D3632E38B91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345ac7-77b7-41ea-a349-22536bae1db1"/>
    <ds:schemaRef ds:uri="4c1d7af6-fd99-46aa-bf57-6d3d790ee3a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242B0F9-2002-41BE-AAC3-E0C691D676DA}">
  <ds:schemaRefs>
    <ds:schemaRef ds:uri="http://schemas.microsoft.com/office/2006/documentManagement/types"/>
    <ds:schemaRef ds:uri="http://purl.org/dc/dcmitype/"/>
    <ds:schemaRef ds:uri="4c1d7af6-fd99-46aa-bf57-6d3d790ee3ad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52345ac7-77b7-41ea-a349-22536bae1db1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Test_Execution_Summary</vt:lpstr>
      <vt:lpstr>Configurations</vt:lpstr>
      <vt:lpstr>Test Coverage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WASALA W M M T</cp:lastModifiedBy>
  <dcterms:created xsi:type="dcterms:W3CDTF">2020-10-29T03:24:10Z</dcterms:created>
  <dcterms:modified xsi:type="dcterms:W3CDTF">2026-06-17T10:01:27Z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0x01010065A156280117E84F85D95EB3566230A4</vt:lpwstr>
  </property>
</Properties>
</file>